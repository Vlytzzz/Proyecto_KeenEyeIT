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59" documentId="8_{2EFDF332-31E9-4C74-A6B5-E695634C1C45}" xr6:coauthVersionLast="47" xr6:coauthVersionMax="47" xr10:uidLastSave="{7E26F306-0785-421E-A231-CD0E813C037B}"/>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<sst xmlns="http://schemas.openxmlformats.org/spreadsheetml/2006/main" count="157" uniqueCount="98">
  <si>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</si>
  <si>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</si>
  <si>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</si>
  <si>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JEREZ VALDES NICOLAS GUILLERMO</t>
  </si>
  <si>
    <t>PAILLAN TORRES PABLO FRANCISCO</t>
  </si>
  <si>
    <t>WASTAVINO GONZALEZ MATIAS IGNACIO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</si>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</sst>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8" sqref="C1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6.6</v>
      </c>
      <c r="D4" s="6">
        <f>$C$35</f>
        <v>7</v>
      </c>
      <c r="E4" s="42">
        <f>C4*C$2+D4*D$2</f>
        <v>6.6999999999999993</v>
      </c>
      <c r="G4" s="1"/>
    </row>
    <row r="5" spans="1:11">
      <c r="A5" s="5">
        <v>2</v>
      </c>
      <c r="B5" s="48" t="s">
        <v>4</v>
      </c>
      <c r="C5" s="6">
        <f>EVALUACION1!$C$24</f>
        <v>6.6</v>
      </c>
      <c r="D5" s="6">
        <f>C47</f>
        <v>7</v>
      </c>
      <c r="E5" s="42">
        <f t="shared" ref="E5:E6" si="0">C5*C$2+D5*D$2</f>
        <v>6.6999999999999993</v>
      </c>
      <c r="G5" s="1"/>
    </row>
    <row r="6" spans="1:11">
      <c r="A6" s="5">
        <v>3</v>
      </c>
      <c r="B6" s="48" t="s">
        <v>5</v>
      </c>
      <c r="C6" s="6">
        <f>EVALUACION1!$C$24</f>
        <v>6.6</v>
      </c>
      <c r="D6" s="6">
        <f>C58</f>
        <v>7</v>
      </c>
      <c r="E6" s="42">
        <f t="shared" si="0"/>
        <v>6.6999999999999993</v>
      </c>
      <c r="G6" s="1"/>
    </row>
    <row r="9" spans="1:11" ht="15" customHeight="1">
      <c r="B9" s="48"/>
    </row>
    <row r="11" spans="1:11" ht="18.75" outlineLevel="1">
      <c r="A11" s="55" t="s">
        <v>6</v>
      </c>
      <c r="B11" s="14"/>
      <c r="C11" s="51"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66</v>
      </c>
      <c r="D23" s="19"/>
      <c r="E23" s="19">
        <f>SUM(E13:E22)</f>
        <v>60</v>
      </c>
      <c r="F23" s="19"/>
      <c r="G23" s="19">
        <f>SUM(G13:G22)</f>
        <v>6</v>
      </c>
      <c r="H23" s="19"/>
      <c r="I23" s="19">
        <f>SUM(I13:I22)</f>
        <v>0</v>
      </c>
      <c r="J23" s="19"/>
      <c r="K23" s="19">
        <f>SUM(K13:K22)</f>
        <v>0</v>
      </c>
    </row>
    <row r="24" spans="1:11" ht="15.75" customHeight="1" outlineLevel="1">
      <c r="A24" s="68"/>
      <c r="B24" s="35" t="s">
        <v>15</v>
      </c>
      <c r="C24" s="20">
        <f>VLOOKUP(C23,ESCALA_IEP!A2:B142,2,FALSE)</f>
        <v>6.6</v>
      </c>
    </row>
    <row r="25" spans="1:11" ht="15.75" customHeight="1"/>
    <row r="26" spans="1:11" ht="15.75" customHeight="1"/>
    <row r="27" spans="1:11" ht="15.75" customHeight="1">
      <c r="A27" s="53" t="s">
        <v>16</v>
      </c>
      <c r="B27" s="49" t="s">
        <v>17</v>
      </c>
      <c r="C27" s="50" t="str">
        <f>$B$4</f>
        <v>JEREZ VALDES NICOLAS GUILLERMO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0" t="str">
        <f>B5</f>
        <v>PAILLAN TORRES PABLO FRANCISCO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0" t="str">
        <f>B6</f>
        <v>WASTAVINO GONZALEZ MATIAS IGNACIO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2026-09-01T16:49:41Z</dcterms:modified>
  <cp:category/>
  <cp:contentStatus/>
</cp:coreProperties>
</file>